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Expense report" sheetId="1" state="visible" r:id="rId1"/>
    <sheet name="Receipt and Payment of expenses" sheetId="2" state="visible" r:id="rId2"/>
    <sheet name="Mileage Reimbursement" sheetId="3" state="visible" r:id="rId3"/>
    <sheet name="面单" sheetId="4" state="visible" r:id="rId4"/>
  </sheets>
  <definedNames>
    <definedName name="_xlnm.Print_Area" localSheetId="0">'Expense report'!$A$1:$J$70</definedName>
    <definedName name="_xlnm.Print_Area" localSheetId="1">'Receipt and Payment of expenses'!$B$1:$E$27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0_ "/>
    <numFmt numFmtId="165" formatCode="\¥#,##0.00;\¥\-#,##0.00"/>
    <numFmt numFmtId="166" formatCode="[DBNum2][$RMB]General;[Red][DBNum2][$RMB]General"/>
    <numFmt numFmtId="167" formatCode="&quot;￥&quot;#,##0.00;&quot;￥&quot;\-#,##0.00"/>
    <numFmt numFmtId="168" formatCode="_([$$-409]* #,##0.00_);_([$$-409]* \(#,##0.00\);_([$$-409]* &quot;-&quot;??_);_(@_)"/>
    <numFmt numFmtId="169" formatCode="\$#,##0.00_);[Red]\(\$#,##0.00\)"/>
    <numFmt numFmtId="170" formatCode="&quot;$&quot;#,##0.00"/>
    <numFmt numFmtId="171" formatCode="_ &quot;￥&quot;* #,##0.00_ ;_ &quot;￥&quot;* \-#,##0.00_ ;_ &quot;￥&quot;* &quot;-&quot;??_ ;_ @_ "/>
  </numFmts>
  <fonts count="23">
    <font>
      <name val="宋体"/>
      <sz val="12"/>
    </font>
    <font>
      <name val="宋体"/>
      <b val="1"/>
      <sz val="18"/>
    </font>
    <font>
      <name val="宋体"/>
      <b val="1"/>
      <sz val="20"/>
    </font>
    <font>
      <name val="宋体"/>
      <b val="1"/>
      <sz val="20"/>
    </font>
    <font>
      <name val="宋体"/>
      <b val="1"/>
      <sz val="12"/>
    </font>
    <font>
      <name val="华文行楷"/>
      <sz val="14"/>
    </font>
    <font>
      <name val="宋体"/>
      <b val="1"/>
      <color rgb="FF000000"/>
      <sz val="18"/>
    </font>
    <font>
      <name val="Calibri"/>
      <color theme="1"/>
      <sz val="12"/>
    </font>
    <font>
      <name val="宋体"/>
      <color rgb="FF000000"/>
      <sz val="12"/>
    </font>
    <font>
      <name val="宋体"/>
      <b val="1"/>
      <color rgb="FF000000"/>
      <sz val="20"/>
    </font>
    <font>
      <name val="宋体"/>
      <b val="1"/>
      <color rgb="FF000000"/>
      <sz val="20"/>
    </font>
    <font>
      <name val="宋体"/>
      <color rgb="FF000000"/>
      <sz val="10"/>
    </font>
    <font>
      <name val="宋体"/>
      <color rgb="FF000000"/>
      <sz val="11"/>
    </font>
    <font>
      <name val="宋体"/>
      <color rgb="FFFF0000"/>
      <sz val="12"/>
    </font>
    <font>
      <name val="Calibri"/>
      <color theme="1"/>
      <sz val="11"/>
    </font>
    <font>
      <name val="微软雅黑"/>
      <sz val="12"/>
    </font>
    <font>
      <name val="微软雅黑"/>
      <b val="1"/>
      <sz val="16"/>
    </font>
    <font>
      <name val="細明體"/>
      <sz val="12"/>
    </font>
    <font>
      <name val="微软雅黑"/>
      <b val="1"/>
      <color rgb="FF000000"/>
      <sz val="11"/>
    </font>
    <font>
      <name val="微軟正黑體"/>
      <b val="1"/>
      <color indexed="8"/>
      <sz val="11"/>
    </font>
    <font>
      <name val="微软雅黑"/>
      <sz val="12"/>
    </font>
    <font>
      <name val="宋体"/>
      <b val="1"/>
      <color rgb="FF000000"/>
      <sz val="409.55"/>
    </font>
    <font>
      <name val="宋体"/>
      <color rgb="FF000000"/>
      <sz val="409.55"/>
    </font>
  </fonts>
  <fills count="6">
    <fill>
      <patternFill/>
    </fill>
    <fill>
      <patternFill patternType="gray125"/>
    </fill>
    <fill>
      <patternFill patternType="solid">
        <fgColor theme="5" tint="0.5998718222602009"/>
        <bgColor indexed="65"/>
      </patternFill>
    </fill>
    <fill>
      <patternFill patternType="solid">
        <fgColor theme="0" tint="-0.1499984740745262"/>
        <bgColor indexed="65"/>
      </patternFill>
    </fill>
    <fill>
      <patternFill patternType="solid">
        <fgColor rgb="FFFFFF00"/>
      </patternFill>
    </fill>
    <fill>
      <patternFill patternType="solid">
        <fgColor theme="2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171" fontId="14" fillId="0" borderId="0" applyAlignment="1">
      <alignment vertical="center"/>
    </xf>
  </cellStyleXfs>
  <cellXfs count="14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3" fontId="8" fillId="0" borderId="0" applyAlignment="1" pivotButton="0" quotePrefix="0" xfId="0">
      <alignment vertical="center"/>
    </xf>
    <xf numFmtId="167" fontId="8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3" fontId="0" fillId="0" borderId="0" applyAlignment="1" pivotButton="0" quotePrefix="0" xfId="0">
      <alignment horizontal="left" vertical="center"/>
    </xf>
    <xf numFmtId="167" fontId="0" fillId="0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3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40" fontId="0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5" fillId="0" borderId="1" applyAlignment="1" pivotButton="0" quotePrefix="0" xfId="0">
      <alignment vertical="center"/>
    </xf>
    <xf numFmtId="0" fontId="17" fillId="0" borderId="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168" fontId="15" fillId="0" borderId="1" applyAlignment="1" pivotButton="0" quotePrefix="0" xfId="0">
      <alignment vertical="center"/>
    </xf>
    <xf numFmtId="168" fontId="16" fillId="4" borderId="1" applyAlignment="1" pivotButton="0" quotePrefix="0" xfId="0">
      <alignment vertical="center"/>
    </xf>
    <xf numFmtId="0" fontId="15" fillId="5" borderId="1" applyAlignment="1" pivotButton="0" quotePrefix="0" xfId="0">
      <alignment vertical="center"/>
    </xf>
    <xf numFmtId="0" fontId="20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168" fontId="15" fillId="5" borderId="1" applyAlignment="1" pivotButton="0" quotePrefix="0" xfId="1">
      <alignment horizontal="center" vertical="center"/>
    </xf>
    <xf numFmtId="0" fontId="17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168" fontId="15" fillId="5" borderId="1" applyAlignment="1" pivotButton="0" quotePrefix="0" xfId="0">
      <alignment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8" applyAlignment="1" pivotButton="0" quotePrefix="0" xfId="0">
      <alignment vertical="center" wrapText="1"/>
    </xf>
    <xf numFmtId="0" fontId="8" fillId="0" borderId="8" applyAlignment="1" pivotButton="0" quotePrefix="0" xfId="0">
      <alignment horizontal="center" vertical="center" wrapText="1"/>
    </xf>
    <xf numFmtId="3" fontId="8" fillId="0" borderId="8" applyAlignment="1" pivotButton="0" quotePrefix="0" xfId="0">
      <alignment horizontal="center" vertical="center" wrapText="1"/>
    </xf>
    <xf numFmtId="167" fontId="8" fillId="0" borderId="8" applyAlignment="1" pivotButton="0" quotePrefix="0" xfId="0">
      <alignment horizontal="center" vertical="center" wrapText="1"/>
    </xf>
    <xf numFmtId="0" fontId="7" fillId="0" borderId="8" applyAlignment="1" pivotButton="0" quotePrefix="0" xfId="0">
      <alignment vertical="center"/>
    </xf>
    <xf numFmtId="49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/>
    </xf>
    <xf numFmtId="168" fontId="0" fillId="0" borderId="8" applyAlignment="1" pivotButton="0" quotePrefix="0" xfId="1">
      <alignment horizontal="center" vertical="center"/>
    </xf>
    <xf numFmtId="0" fontId="8" fillId="0" borderId="8" applyAlignment="1" pivotButton="0" quotePrefix="0" xfId="0">
      <alignment vertical="center"/>
    </xf>
    <xf numFmtId="14" fontId="0" fillId="0" borderId="8" applyAlignment="1" pivotButton="0" quotePrefix="0" xfId="0">
      <alignment vertical="center"/>
    </xf>
    <xf numFmtId="0" fontId="12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168" fontId="8" fillId="0" borderId="8" applyAlignment="1" pivotButton="0" quotePrefix="0" xfId="0">
      <alignment horizontal="center" vertical="center" wrapText="1"/>
    </xf>
    <xf numFmtId="14" fontId="0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/>
    </xf>
    <xf numFmtId="0" fontId="11" fillId="0" borderId="8" applyAlignment="1" pivotButton="0" quotePrefix="0" xfId="0">
      <alignment horizontal="center" vertical="center"/>
    </xf>
    <xf numFmtId="168" fontId="8" fillId="0" borderId="8" applyAlignment="1" pivotButton="0" quotePrefix="0" xfId="1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49" fontId="0" fillId="0" borderId="8" applyAlignment="1" pivotButton="0" quotePrefix="0" xfId="0">
      <alignment horizontal="center" vertical="center" wrapText="1"/>
    </xf>
    <xf numFmtId="14" fontId="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8" fillId="3" borderId="8" applyAlignment="1" pivotButton="0" quotePrefix="0" xfId="0">
      <alignment vertical="center" wrapText="1"/>
    </xf>
    <xf numFmtId="0" fontId="0" fillId="0" borderId="8" applyAlignment="1" pivotButton="0" quotePrefix="0" xfId="0">
      <alignment horizontal="center" vertical="center" wrapText="1"/>
    </xf>
    <xf numFmtId="0" fontId="12" fillId="0" borderId="8" applyAlignment="1" pivotButton="0" quotePrefix="0" xfId="0">
      <alignment horizontal="center" vertical="center" wrapText="1"/>
    </xf>
    <xf numFmtId="167" fontId="0" fillId="0" borderId="8" applyAlignment="1" pivotButton="0" quotePrefix="0" xfId="0">
      <alignment horizontal="center" vertical="center" wrapText="1"/>
    </xf>
    <xf numFmtId="167" fontId="8" fillId="0" borderId="9" applyAlignment="1" pivotButton="0" quotePrefix="0" xfId="0">
      <alignment horizontal="center" vertical="center" wrapText="1"/>
    </xf>
    <xf numFmtId="168" fontId="8" fillId="0" borderId="9" applyAlignment="1" pivotButton="0" quotePrefix="0" xfId="0">
      <alignment horizontal="center" vertical="center" wrapText="1"/>
    </xf>
    <xf numFmtId="49" fontId="0" fillId="0" borderId="9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8" fillId="0" borderId="9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0" fillId="0" borderId="11" applyAlignment="1" pivotButton="0" quotePrefix="0" xfId="0">
      <alignment horizontal="center" vertical="center"/>
    </xf>
    <xf numFmtId="169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70" fontId="0" fillId="0" borderId="8" applyAlignment="1" pivotButton="0" quotePrefix="0" xfId="0">
      <alignment horizontal="center" vertical="center"/>
    </xf>
    <xf numFmtId="168" fontId="8" fillId="3" borderId="8" applyAlignment="1" pivotButton="0" quotePrefix="0" xfId="0">
      <alignment horizontal="center" vertical="center"/>
    </xf>
    <xf numFmtId="168" fontId="13" fillId="0" borderId="8" applyAlignment="1" pivotButton="0" quotePrefix="0" xfId="0">
      <alignment horizontal="center" vertical="center"/>
    </xf>
    <xf numFmtId="0" fontId="8" fillId="0" borderId="12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167" fontId="9" fillId="0" borderId="0" applyAlignment="1" pivotButton="0" quotePrefix="0" xfId="0">
      <alignment horizontal="center" vertical="center"/>
    </xf>
    <xf numFmtId="0" fontId="8" fillId="3" borderId="12" applyAlignment="1" pivotButton="0" quotePrefix="0" xfId="0">
      <alignment horizontal="center" vertical="center" wrapText="1"/>
    </xf>
    <xf numFmtId="0" fontId="8" fillId="3" borderId="13" applyAlignment="1" pivotButton="0" quotePrefix="0" xfId="0">
      <alignment horizontal="center" vertical="center" wrapText="1"/>
    </xf>
    <xf numFmtId="0" fontId="8" fillId="3" borderId="14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/>
    </xf>
    <xf numFmtId="0" fontId="0" fillId="2" borderId="4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167" fontId="8" fillId="0" borderId="8" applyAlignment="1" pivotButton="0" quotePrefix="0" xfId="0">
      <alignment horizontal="center" vertical="center" wrapText="1"/>
    </xf>
    <xf numFmtId="168" fontId="0" fillId="0" borderId="8" applyAlignment="1" pivotButton="0" quotePrefix="0" xfId="1">
      <alignment horizontal="center" vertical="center"/>
    </xf>
    <xf numFmtId="0" fontId="0" fillId="0" borderId="18" pivotButton="0" quotePrefix="0" xfId="0"/>
    <xf numFmtId="168" fontId="8" fillId="0" borderId="8" applyAlignment="1" pivotButton="0" quotePrefix="0" xfId="0">
      <alignment horizontal="center" vertical="center" wrapText="1"/>
    </xf>
    <xf numFmtId="168" fontId="8" fillId="0" borderId="8" applyAlignment="1" pivotButton="0" quotePrefix="0" xfId="1">
      <alignment horizontal="center" vertical="center" wrapText="1"/>
    </xf>
    <xf numFmtId="168" fontId="8" fillId="0" borderId="9" applyAlignment="1" pivotButton="0" quotePrefix="0" xfId="0">
      <alignment horizontal="center" vertical="center" wrapText="1"/>
    </xf>
    <xf numFmtId="167" fontId="8" fillId="0" borderId="9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168" fontId="8" fillId="3" borderId="8" applyAlignment="1" pivotButton="0" quotePrefix="0" xfId="0">
      <alignment horizontal="center" vertical="center"/>
    </xf>
    <xf numFmtId="0" fontId="0" fillId="0" borderId="19" pivotButton="0" quotePrefix="0" xfId="0"/>
    <xf numFmtId="168" fontId="13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 wrapText="1"/>
    </xf>
    <xf numFmtId="169" fontId="0" fillId="0" borderId="8" applyAlignment="1" pivotButton="0" quotePrefix="0" xfId="0">
      <alignment horizontal="center" vertical="center"/>
    </xf>
    <xf numFmtId="170" fontId="0" fillId="0" borderId="8" applyAlignment="1" pivotButton="0" quotePrefix="0" xfId="0">
      <alignment horizontal="center" vertical="center"/>
    </xf>
    <xf numFmtId="168" fontId="15" fillId="5" borderId="1" applyAlignment="1" pivotButton="0" quotePrefix="0" xfId="1">
      <alignment horizontal="center" vertical="center"/>
    </xf>
    <xf numFmtId="168" fontId="15" fillId="5" borderId="1" applyAlignment="1" pivotButton="0" quotePrefix="0" xfId="0">
      <alignment vertical="center"/>
    </xf>
    <xf numFmtId="168" fontId="15" fillId="0" borderId="1" applyAlignment="1" pivotButton="0" quotePrefix="0" xfId="0">
      <alignment vertical="center"/>
    </xf>
    <xf numFmtId="168" fontId="16" fillId="4" borderId="1" applyAlignment="1" pivotButton="0" quotePrefix="0" xfId="0">
      <alignment vertical="center"/>
    </xf>
    <xf numFmtId="0" fontId="0" fillId="0" borderId="20" pivotButton="0" quotePrefix="0" xfId="0"/>
    <xf numFmtId="0" fontId="0" fillId="0" borderId="3" pivotButton="0" quotePrefix="0" xfId="0"/>
    <xf numFmtId="0" fontId="0" fillId="0" borderId="4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2" pivotButton="0" quotePrefix="0" xfId="0"/>
    <xf numFmtId="0" fontId="0" fillId="0" borderId="21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2" borderId="20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 wrapText="1"/>
    </xf>
  </cellXfs>
  <cellStyles count="2">
    <cellStyle name="Normal" xfId="0" builtinId="0"/>
    <cellStyle name="Currency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/Relationships>
</file>

<file path=xl/worksheets/_rels/sheet4.xml.rels><Relationships xmlns="http://schemas.openxmlformats.org/package/2006/relationships"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topLeftCell="A4" workbookViewId="0">
      <selection activeCell="A1" sqref="A1:H1"/>
    </sheetView>
  </sheetViews>
  <sheetFormatPr baseColWidth="8" defaultColWidth="9" defaultRowHeight="15.6"/>
  <cols>
    <col width="38.09765625" customWidth="1" style="12" min="1" max="1"/>
    <col width="18.19921875" customWidth="1" style="23" min="2" max="2"/>
    <col width="76.8984375" customWidth="1" style="12" min="3" max="3"/>
    <col width="25.3984375" customWidth="1" style="12" min="4" max="4"/>
    <col width="18.59765625" customWidth="1" style="12" min="5" max="5"/>
    <col width="24" customWidth="1" style="13" min="6" max="6"/>
    <col width="29.09765625" customWidth="1" style="112" min="7" max="7"/>
    <col width="12.09765625" customWidth="1" style="12" min="8" max="8"/>
    <col width="10.5" customWidth="1" style="12" min="9" max="9"/>
    <col width="9" customWidth="1" style="12" min="10" max="40"/>
    <col width="9" customWidth="1" style="11" min="41" max="16384"/>
  </cols>
  <sheetData>
    <row r="1" ht="25.35" customFormat="1" customHeight="1" s="10">
      <c r="A1" s="87" t="inlineStr">
        <is>
          <t>Expense Report
费用报销单</t>
        </is>
      </c>
      <c r="I1" s="12" t="inlineStr">
        <is>
          <t>汇率：</t>
        </is>
      </c>
      <c r="J1" s="12" t="n">
        <v>6.8175</v>
      </c>
    </row>
    <row r="2">
      <c r="A2" s="19" t="inlineStr">
        <is>
          <t>Department / 报销部门：</t>
        </is>
      </c>
      <c r="B2" s="22" t="n"/>
      <c r="C2" s="0" t="n"/>
      <c r="D2" s="0" t="n"/>
      <c r="E2" s="0" t="n"/>
      <c r="F2" s="20" t="n"/>
      <c r="G2" s="113" t="n"/>
      <c r="H2" s="0" t="n"/>
    </row>
    <row r="3">
      <c r="A3" s="15" t="inlineStr">
        <is>
          <t>Date / 填表日期：</t>
        </is>
      </c>
      <c r="B3" s="22" t="n"/>
      <c r="C3" s="100" t="n"/>
      <c r="D3" s="100" t="n"/>
      <c r="E3" s="100" t="n"/>
      <c r="F3" s="16" t="n"/>
      <c r="G3" s="114" t="n"/>
      <c r="H3" s="100" t="n"/>
    </row>
    <row r="4" ht="18.75" customHeight="1" s="115">
      <c r="A4" s="15" t="inlineStr">
        <is>
          <t>Employee: / 申请人：</t>
        </is>
      </c>
      <c r="B4" s="22" t="n"/>
      <c r="C4" s="100" t="n"/>
      <c r="D4" s="100" t="n"/>
      <c r="E4" s="100" t="n"/>
      <c r="F4" s="16" t="n"/>
      <c r="G4" s="114" t="n"/>
      <c r="H4" s="100" t="n"/>
    </row>
    <row r="5" ht="20.25" customHeight="1" s="115">
      <c r="A5" s="44" t="inlineStr">
        <is>
          <t>Category
类别</t>
        </is>
      </c>
      <c r="B5" s="95" t="inlineStr">
        <is>
          <t>Date
日期</t>
        </is>
      </c>
      <c r="C5" s="95" t="inlineStr">
        <is>
          <t>Details
详细信息</t>
        </is>
      </c>
      <c r="D5" s="95" t="inlineStr">
        <is>
          <t>Purpose
事由</t>
        </is>
      </c>
      <c r="E5" s="95" t="inlineStr">
        <is>
          <t>Project No.
项目号</t>
        </is>
      </c>
      <c r="F5" s="46" t="inlineStr">
        <is>
          <t>Amount(USD)
金额（美元)</t>
        </is>
      </c>
      <c r="G5" s="116" t="inlineStr">
        <is>
          <t>参考金额（人民币）</t>
        </is>
      </c>
      <c r="H5" s="95" t="inlineStr">
        <is>
          <t>备
注
（注）</t>
        </is>
      </c>
      <c r="I5" s="48" t="n"/>
      <c r="J5" s="48" t="n"/>
    </row>
    <row r="6" ht="31.2" customHeight="1" s="115">
      <c r="A6" s="95" t="inlineStr">
        <is>
          <t>Travel expense-Transportation
交通費</t>
        </is>
      </c>
      <c r="B6" s="49" t="n"/>
      <c r="C6" s="50" t="n"/>
      <c r="D6" s="50" t="n"/>
      <c r="E6" s="51" t="n"/>
      <c r="F6" s="117" t="n"/>
      <c r="G6" s="116">
        <f>F6*$J$1</f>
        <v/>
      </c>
      <c r="H6" s="118" t="n"/>
      <c r="I6" s="53" t="n"/>
      <c r="J6" s="53" t="n"/>
    </row>
    <row r="7" ht="15.6" customHeight="1" s="115">
      <c r="A7" s="95" t="n"/>
      <c r="B7" s="54" t="n"/>
      <c r="C7" s="55" t="n"/>
      <c r="D7" s="50" t="n"/>
      <c r="E7" s="56" t="n"/>
      <c r="F7" s="119" t="n"/>
      <c r="G7" s="116">
        <f>F7*$J$1</f>
        <v/>
      </c>
      <c r="H7" s="118" t="n"/>
      <c r="I7" s="53" t="n"/>
      <c r="J7" s="53" t="n"/>
    </row>
    <row r="8" ht="15.6" customHeight="1" s="115">
      <c r="A8" s="95" t="n"/>
      <c r="B8" s="58" t="n"/>
      <c r="C8" s="50" t="n"/>
      <c r="D8" s="50" t="n"/>
      <c r="E8" s="59" t="n"/>
      <c r="F8" s="117" t="n"/>
      <c r="G8" s="116">
        <f>F8*$J$1</f>
        <v/>
      </c>
      <c r="H8" s="118" t="n"/>
      <c r="I8" s="53" t="n"/>
      <c r="J8" s="53" t="n"/>
    </row>
    <row r="9" ht="15.6" customHeight="1" s="115">
      <c r="A9" s="95" t="n"/>
      <c r="B9" s="58" t="n"/>
      <c r="C9" s="50" t="n"/>
      <c r="D9" s="50" t="n"/>
      <c r="E9" s="56" t="n"/>
      <c r="F9" s="117" t="n"/>
      <c r="G9" s="116">
        <f>F9*$J$1</f>
        <v/>
      </c>
      <c r="H9" s="118" t="n"/>
      <c r="I9" s="53" t="n"/>
      <c r="J9" s="53" t="n"/>
    </row>
    <row r="10" ht="15.6" customHeight="1" s="115">
      <c r="A10" s="95" t="n"/>
      <c r="B10" s="58" t="n"/>
      <c r="C10" s="50" t="n"/>
      <c r="D10" s="50" t="n"/>
      <c r="E10" s="56" t="n"/>
      <c r="F10" s="117" t="n"/>
      <c r="G10" s="116">
        <f>F10*$J$1</f>
        <v/>
      </c>
      <c r="H10" s="118" t="n"/>
      <c r="I10" s="53" t="n"/>
      <c r="J10" s="53" t="n"/>
    </row>
    <row r="11" ht="15.6" customHeight="1" s="115">
      <c r="A11" s="95" t="n"/>
      <c r="B11" s="58" t="n"/>
      <c r="C11" s="60" t="n"/>
      <c r="D11" s="50" t="n"/>
      <c r="E11" s="56" t="n"/>
      <c r="F11" s="117" t="n"/>
      <c r="G11" s="116">
        <f>F11*$J$1</f>
        <v/>
      </c>
      <c r="H11" s="118" t="n"/>
      <c r="I11" s="53" t="n"/>
      <c r="J11" s="53" t="n"/>
    </row>
    <row r="12" ht="15.6" customHeight="1" s="115">
      <c r="A12" s="95" t="n"/>
      <c r="B12" s="58" t="n"/>
      <c r="C12" s="60" t="n"/>
      <c r="D12" s="50" t="n"/>
      <c r="E12" s="56" t="n"/>
      <c r="F12" s="117" t="n"/>
      <c r="G12" s="116">
        <f>F12*$J$1</f>
        <v/>
      </c>
      <c r="H12" s="118" t="n"/>
      <c r="I12" s="53" t="n"/>
      <c r="J12" s="53" t="n"/>
    </row>
    <row r="13" ht="15.6" customHeight="1" s="115">
      <c r="A13" s="95" t="n"/>
      <c r="B13" s="58" t="n"/>
      <c r="C13" s="60" t="n"/>
      <c r="D13" s="50" t="n"/>
      <c r="E13" s="56" t="n"/>
      <c r="F13" s="117" t="n"/>
      <c r="G13" s="116">
        <f>F13*$J$1</f>
        <v/>
      </c>
      <c r="H13" s="118" t="n"/>
      <c r="I13" s="53" t="n"/>
      <c r="J13" s="53" t="n"/>
    </row>
    <row r="14" ht="15.6" customHeight="1" s="115">
      <c r="A14" s="95" t="n"/>
      <c r="B14" s="58" t="n"/>
      <c r="C14" s="60" t="n"/>
      <c r="D14" s="50" t="n"/>
      <c r="E14" s="56" t="n"/>
      <c r="F14" s="117" t="n"/>
      <c r="G14" s="116">
        <f>F14*$J$1</f>
        <v/>
      </c>
      <c r="H14" s="118" t="n"/>
      <c r="I14" s="53" t="n"/>
      <c r="J14" s="53" t="n"/>
    </row>
    <row r="15" ht="15.6" customHeight="1" s="115">
      <c r="A15" s="95" t="n"/>
      <c r="B15" s="58" t="n"/>
      <c r="C15" s="60" t="n"/>
      <c r="D15" s="50" t="n"/>
      <c r="E15" s="56" t="n"/>
      <c r="F15" s="117" t="n"/>
      <c r="G15" s="116">
        <f>F15*$J$1</f>
        <v/>
      </c>
      <c r="H15" s="118" t="n"/>
      <c r="I15" s="53" t="n"/>
      <c r="J15" s="53" t="n"/>
    </row>
    <row r="16" ht="15.6" customHeight="1" s="115">
      <c r="A16" s="95" t="n"/>
      <c r="B16" s="58" t="n"/>
      <c r="C16" s="60" t="n"/>
      <c r="D16" s="50" t="n"/>
      <c r="E16" s="56" t="n"/>
      <c r="F16" s="117" t="n"/>
      <c r="G16" s="116">
        <f>F16*$J$1</f>
        <v/>
      </c>
      <c r="H16" s="118" t="n"/>
      <c r="I16" s="53" t="n"/>
      <c r="J16" s="53" t="n"/>
    </row>
    <row r="17" ht="15.6" customHeight="1" s="115">
      <c r="A17" s="95" t="n"/>
      <c r="B17" s="58" t="n"/>
      <c r="C17" s="60" t="n"/>
      <c r="D17" s="50" t="n"/>
      <c r="E17" s="56" t="n"/>
      <c r="F17" s="117" t="n"/>
      <c r="G17" s="116">
        <f>F17*$J$1</f>
        <v/>
      </c>
      <c r="H17" s="118" t="n"/>
      <c r="I17" s="53" t="n"/>
      <c r="J17" s="53" t="n"/>
    </row>
    <row r="18" ht="15.6" customHeight="1" s="115">
      <c r="A18" s="95" t="n"/>
      <c r="B18" s="58" t="n"/>
      <c r="C18" s="60" t="n"/>
      <c r="D18" s="50" t="n"/>
      <c r="E18" s="56" t="n"/>
      <c r="F18" s="117" t="n"/>
      <c r="G18" s="116">
        <f>F18*$J$1</f>
        <v/>
      </c>
      <c r="H18" s="118" t="n"/>
      <c r="I18" s="53" t="n"/>
      <c r="J18" s="53" t="n"/>
    </row>
    <row r="19" ht="15.6" customHeight="1" s="115">
      <c r="A19" s="95" t="n"/>
      <c r="B19" s="58" t="n"/>
      <c r="C19" s="60" t="n"/>
      <c r="D19" s="50" t="n"/>
      <c r="E19" s="56" t="n"/>
      <c r="F19" s="117" t="n"/>
      <c r="G19" s="116">
        <f>F19*$J$1</f>
        <v/>
      </c>
      <c r="H19" s="118" t="n"/>
      <c r="I19" s="53" t="n"/>
      <c r="J19" s="53" t="n"/>
    </row>
    <row r="20" ht="15.6" customHeight="1" s="115">
      <c r="A20" s="95" t="n"/>
      <c r="B20" s="58" t="n"/>
      <c r="C20" s="60" t="n"/>
      <c r="D20" s="50" t="n"/>
      <c r="E20" s="56" t="n"/>
      <c r="F20" s="117" t="n"/>
      <c r="G20" s="116">
        <f>F20*$J$1</f>
        <v/>
      </c>
      <c r="H20" s="118" t="n"/>
      <c r="I20" s="53" t="n"/>
      <c r="J20" s="53" t="n"/>
    </row>
    <row r="21" ht="15.6" customHeight="1" s="115">
      <c r="A21" s="95" t="n"/>
      <c r="B21" s="58" t="n"/>
      <c r="C21" s="60" t="n"/>
      <c r="D21" s="50" t="n"/>
      <c r="E21" s="56" t="n"/>
      <c r="F21" s="117" t="n"/>
      <c r="G21" s="116">
        <f>F21*$J$1</f>
        <v/>
      </c>
      <c r="H21" s="118" t="n"/>
      <c r="I21" s="53" t="n"/>
      <c r="J21" s="53" t="n"/>
    </row>
    <row r="22" ht="15.6" customHeight="1" s="115">
      <c r="A22" s="95" t="n"/>
      <c r="B22" s="58" t="n"/>
      <c r="C22" s="60" t="n"/>
      <c r="D22" s="50" t="n"/>
      <c r="E22" s="56" t="n"/>
      <c r="F22" s="117" t="n"/>
      <c r="G22" s="116">
        <f>F22*$J$1</f>
        <v/>
      </c>
      <c r="H22" s="118" t="n"/>
      <c r="I22" s="53" t="n"/>
      <c r="J22" s="53" t="n"/>
    </row>
    <row r="23" ht="15.6" customHeight="1" s="115">
      <c r="A23" s="95" t="n"/>
      <c r="B23" s="58" t="n"/>
      <c r="C23" s="60" t="n"/>
      <c r="D23" s="50" t="n"/>
      <c r="E23" s="56" t="n"/>
      <c r="F23" s="117" t="n"/>
      <c r="G23" s="116">
        <f>F23*$J$1</f>
        <v/>
      </c>
      <c r="H23" s="118" t="n"/>
      <c r="I23" s="53" t="n"/>
      <c r="J23" s="53" t="n"/>
    </row>
    <row r="24" ht="15.6" customHeight="1" s="115">
      <c r="A24" s="95" t="n"/>
      <c r="B24" s="58" t="n"/>
      <c r="C24" s="60" t="n"/>
      <c r="D24" s="50" t="n"/>
      <c r="E24" s="56" t="n"/>
      <c r="F24" s="117" t="n"/>
      <c r="G24" s="116">
        <f>F24*$J$1</f>
        <v/>
      </c>
      <c r="H24" s="118" t="n"/>
      <c r="I24" s="53" t="n"/>
      <c r="J24" s="53" t="n"/>
    </row>
    <row r="25" ht="15.6" customHeight="1" s="115">
      <c r="A25" s="95" t="n"/>
      <c r="B25" s="58" t="n"/>
      <c r="C25" s="60" t="n"/>
      <c r="D25" s="50" t="n"/>
      <c r="E25" s="56" t="n"/>
      <c r="F25" s="117" t="n"/>
      <c r="G25" s="116">
        <f>F25*$J$1</f>
        <v/>
      </c>
      <c r="H25" s="118" t="n"/>
      <c r="I25" s="53" t="n"/>
      <c r="J25" s="53" t="n"/>
    </row>
    <row r="26" ht="15.6" customHeight="1" s="115">
      <c r="A26" s="95" t="n"/>
      <c r="B26" s="58" t="n"/>
      <c r="C26" s="50" t="n"/>
      <c r="D26" s="60" t="n"/>
      <c r="E26" s="56" t="n"/>
      <c r="F26" s="117" t="n"/>
      <c r="G26" s="116">
        <f>F26*$J$1</f>
        <v/>
      </c>
      <c r="H26" s="118" t="n"/>
      <c r="I26" s="53" t="n"/>
      <c r="J26" s="53" t="n"/>
    </row>
    <row r="27" hidden="1" ht="8.1" customHeight="1" s="115">
      <c r="A27" s="95" t="n"/>
      <c r="B27" s="49" t="n"/>
      <c r="C27" s="50" t="n"/>
      <c r="D27" s="60" t="n"/>
      <c r="E27" s="56" t="n"/>
      <c r="F27" s="117" t="n"/>
      <c r="G27" s="116">
        <f>F27*$J$1</f>
        <v/>
      </c>
      <c r="H27" s="118" t="n"/>
      <c r="I27" s="53" t="n"/>
      <c r="J27" s="53" t="n"/>
    </row>
    <row r="28" hidden="1" ht="8.1" customHeight="1" s="115">
      <c r="A28" s="95" t="n"/>
      <c r="B28" s="49" t="n"/>
      <c r="C28" s="50" t="n"/>
      <c r="D28" s="60" t="n"/>
      <c r="E28" s="56" t="n"/>
      <c r="F28" s="117" t="n"/>
      <c r="G28" s="116">
        <f>F28*$J$1</f>
        <v/>
      </c>
      <c r="H28" s="118" t="n"/>
      <c r="I28" s="53" t="n"/>
      <c r="J28" s="53" t="n"/>
    </row>
    <row r="29" hidden="1" ht="8.1" customHeight="1" s="115">
      <c r="A29" s="95" t="n"/>
      <c r="B29" s="49" t="n"/>
      <c r="C29" s="50" t="n"/>
      <c r="D29" s="50" t="n"/>
      <c r="E29" s="56" t="n"/>
      <c r="F29" s="117" t="n"/>
      <c r="G29" s="116">
        <f>F29*$J$1</f>
        <v/>
      </c>
      <c r="H29" s="118" t="n"/>
      <c r="I29" s="53" t="n"/>
      <c r="J29" s="53" t="n"/>
    </row>
    <row r="30" hidden="1" ht="8.1" customHeight="1" s="115">
      <c r="A30" s="95" t="n"/>
      <c r="B30" s="49" t="n"/>
      <c r="C30" s="50" t="n"/>
      <c r="D30" s="50" t="n"/>
      <c r="E30" s="56" t="n"/>
      <c r="F30" s="117" t="n"/>
      <c r="G30" s="116">
        <f>F30*$J$1</f>
        <v/>
      </c>
      <c r="H30" s="118" t="n"/>
      <c r="I30" s="53" t="n"/>
      <c r="J30" s="53" t="n"/>
    </row>
    <row r="31" hidden="1" ht="8.1" customHeight="1" s="115">
      <c r="A31" s="95" t="n"/>
      <c r="B31" s="49" t="n"/>
      <c r="C31" s="50" t="n"/>
      <c r="D31" s="50" t="n"/>
      <c r="E31" s="56" t="n"/>
      <c r="F31" s="117" t="n"/>
      <c r="G31" s="116">
        <f>F31*$J$1</f>
        <v/>
      </c>
      <c r="H31" s="118" t="n"/>
      <c r="I31" s="53" t="n"/>
      <c r="J31" s="53" t="n"/>
    </row>
    <row r="32" hidden="1" ht="8.1" customHeight="1" s="115">
      <c r="A32" s="95" t="n"/>
      <c r="B32" s="49" t="n"/>
      <c r="C32" s="50" t="n"/>
      <c r="D32" s="50" t="n"/>
      <c r="E32" s="56" t="n"/>
      <c r="F32" s="117" t="n"/>
      <c r="G32" s="116">
        <f>F32*$J$1</f>
        <v/>
      </c>
      <c r="H32" s="118" t="n"/>
      <c r="I32" s="53" t="n"/>
      <c r="J32" s="53" t="n"/>
    </row>
    <row r="33" hidden="1" ht="8.1" customHeight="1" s="115">
      <c r="A33" s="95" t="n"/>
      <c r="B33" s="49" t="n"/>
      <c r="C33" s="50" t="n"/>
      <c r="D33" s="50" t="n"/>
      <c r="E33" s="56" t="n"/>
      <c r="F33" s="117" t="n"/>
      <c r="G33" s="116">
        <f>F33*$J$1</f>
        <v/>
      </c>
      <c r="H33" s="118" t="n"/>
      <c r="I33" s="53" t="n"/>
      <c r="J33" s="53" t="n"/>
    </row>
    <row r="34" hidden="1" ht="8.1" customHeight="1" s="115">
      <c r="A34" s="95" t="n"/>
      <c r="B34" s="49" t="n"/>
      <c r="C34" s="50" t="n"/>
      <c r="D34" s="50" t="n"/>
      <c r="E34" s="56" t="n"/>
      <c r="F34" s="117" t="n"/>
      <c r="G34" s="116">
        <f>F34*$J$1</f>
        <v/>
      </c>
      <c r="H34" s="118" t="n"/>
      <c r="I34" s="53" t="n"/>
      <c r="J34" s="53" t="n"/>
    </row>
    <row r="35" hidden="1" ht="8.1" customHeight="1" s="115">
      <c r="A35" s="95" t="n"/>
      <c r="B35" s="49" t="n"/>
      <c r="C35" s="50" t="n"/>
      <c r="D35" s="50" t="n"/>
      <c r="E35" s="50" t="n"/>
      <c r="F35" s="120" t="n"/>
      <c r="G35" s="116">
        <f>F35*$J$1</f>
        <v/>
      </c>
      <c r="H35" s="118" t="n"/>
      <c r="I35" s="53" t="n"/>
      <c r="J35" s="53" t="n"/>
    </row>
    <row r="36" hidden="1" ht="15.6" customHeight="1" s="115">
      <c r="A36" s="95" t="n"/>
      <c r="B36" s="58" t="n"/>
      <c r="C36" s="50" t="n"/>
      <c r="D36" s="95" t="n"/>
      <c r="E36" s="56" t="n"/>
      <c r="F36" s="119" t="n"/>
      <c r="G36" s="116">
        <f>F36*$J$1</f>
        <v/>
      </c>
      <c r="H36" s="118" t="n"/>
      <c r="I36" s="53" t="n"/>
      <c r="J36" s="53" t="n"/>
    </row>
    <row r="37" hidden="1" ht="15.6" customHeight="1" s="115">
      <c r="A37" s="95" t="n"/>
      <c r="B37" s="58" t="n"/>
      <c r="C37" s="50" t="n"/>
      <c r="D37" s="95" t="n"/>
      <c r="E37" s="56" t="n"/>
      <c r="F37" s="119" t="n"/>
      <c r="G37" s="116">
        <f>F37*$J$1</f>
        <v/>
      </c>
      <c r="H37" s="118" t="n"/>
      <c r="I37" s="53" t="n"/>
      <c r="J37" s="53" t="n"/>
    </row>
    <row r="38" hidden="1" ht="15.6" customHeight="1" s="115">
      <c r="A38" s="95" t="n"/>
      <c r="B38" s="58" t="n"/>
      <c r="C38" s="50" t="n"/>
      <c r="D38" s="95" t="n"/>
      <c r="E38" s="56" t="n"/>
      <c r="F38" s="119" t="n"/>
      <c r="G38" s="116">
        <f>F38*$J$1</f>
        <v/>
      </c>
      <c r="H38" s="118" t="n"/>
      <c r="I38" s="53" t="n"/>
      <c r="J38" s="53" t="n"/>
    </row>
    <row r="39" hidden="1" ht="15.6" customHeight="1" s="115">
      <c r="A39" s="95" t="n"/>
      <c r="B39" s="58" t="n"/>
      <c r="C39" s="50" t="n"/>
      <c r="D39" s="95" t="n"/>
      <c r="E39" s="56" t="n"/>
      <c r="F39" s="119" t="n"/>
      <c r="G39" s="116">
        <f>F39*$J$1</f>
        <v/>
      </c>
      <c r="H39" s="118" t="n"/>
      <c r="I39" s="53" t="n"/>
      <c r="J39" s="53" t="n"/>
    </row>
    <row r="40" hidden="1" ht="15.6" customHeight="1" s="115">
      <c r="A40" s="95" t="n"/>
      <c r="B40" s="58" t="n"/>
      <c r="C40" s="50" t="n"/>
      <c r="D40" s="50" t="n"/>
      <c r="E40" s="56" t="n"/>
      <c r="F40" s="119" t="n"/>
      <c r="G40" s="116">
        <f>F40*$J$1</f>
        <v/>
      </c>
      <c r="H40" s="118" t="n"/>
      <c r="I40" s="53" t="n"/>
      <c r="J40" s="53" t="n"/>
    </row>
    <row r="41" hidden="1" ht="15.6" customHeight="1" s="115">
      <c r="A41" s="95" t="n"/>
      <c r="B41" s="58" t="n"/>
      <c r="C41" s="50" t="n"/>
      <c r="D41" s="50" t="n"/>
      <c r="E41" s="56" t="n"/>
      <c r="F41" s="119" t="n"/>
      <c r="G41" s="116">
        <f>F41*$J$1</f>
        <v/>
      </c>
      <c r="H41" s="118" t="n"/>
      <c r="I41" s="53" t="n"/>
      <c r="J41" s="53" t="n"/>
    </row>
    <row r="42" hidden="1" ht="15.6" customHeight="1" s="115">
      <c r="A42" s="95" t="n"/>
      <c r="B42" s="58" t="n"/>
      <c r="C42" s="50" t="n"/>
      <c r="D42" s="50" t="n"/>
      <c r="E42" s="59" t="n"/>
      <c r="F42" s="117" t="n"/>
      <c r="G42" s="116">
        <f>F42*$J$1</f>
        <v/>
      </c>
      <c r="H42" s="118" t="n"/>
      <c r="I42" s="53" t="n"/>
      <c r="J42" s="53" t="n"/>
    </row>
    <row r="43" hidden="1" ht="15.6" customHeight="1" s="115">
      <c r="A43" s="95" t="n"/>
      <c r="B43" s="58" t="n"/>
      <c r="C43" s="50" t="n"/>
      <c r="D43" s="50" t="n"/>
      <c r="E43" s="56" t="n"/>
      <c r="F43" s="119" t="n"/>
      <c r="G43" s="116">
        <f>F43*$J$1</f>
        <v/>
      </c>
      <c r="H43" s="118" t="n"/>
      <c r="I43" s="53" t="n"/>
      <c r="J43" s="53" t="n"/>
    </row>
    <row r="44" hidden="1" ht="15.6" customHeight="1" s="115">
      <c r="A44" s="95" t="n"/>
      <c r="B44" s="58" t="n"/>
      <c r="C44" s="50" t="n"/>
      <c r="D44" s="50" t="n"/>
      <c r="E44" s="56" t="n"/>
      <c r="F44" s="119" t="n"/>
      <c r="G44" s="116">
        <f>F44*$J$1</f>
        <v/>
      </c>
      <c r="H44" s="118" t="n"/>
      <c r="I44" s="53" t="n"/>
      <c r="J44" s="53" t="n"/>
    </row>
    <row r="45" hidden="1" ht="13.05" customHeight="1" s="115">
      <c r="A45" s="95" t="n"/>
      <c r="B45" s="49" t="n"/>
      <c r="C45" s="50" t="n"/>
      <c r="D45" s="50" t="n"/>
      <c r="E45" s="56" t="n"/>
      <c r="F45" s="119" t="n"/>
      <c r="G45" s="116">
        <f>F45*$J$1</f>
        <v/>
      </c>
      <c r="H45" s="118" t="n"/>
      <c r="I45" s="53" t="n"/>
      <c r="J45" s="53" t="n"/>
    </row>
    <row r="46" hidden="1" ht="13.05" customHeight="1" s="115">
      <c r="A46" s="96" t="n"/>
      <c r="B46" s="72" t="n"/>
      <c r="C46" s="73" t="n"/>
      <c r="D46" s="73" t="n"/>
      <c r="E46" s="74" t="n"/>
      <c r="F46" s="121" t="n"/>
      <c r="G46" s="122">
        <f>F46*$J$1</f>
        <v/>
      </c>
      <c r="H46" s="118" t="n"/>
      <c r="I46" s="75" t="n"/>
      <c r="J46" s="75" t="n"/>
    </row>
    <row r="47" ht="30" customHeight="1" s="115">
      <c r="A47" s="62" t="inlineStr">
        <is>
          <t>Subtotal:
小計:</t>
        </is>
      </c>
      <c r="B47" s="123" t="n"/>
      <c r="C47" s="124" t="n"/>
      <c r="D47" s="62" t="n"/>
      <c r="E47" s="62" t="n"/>
      <c r="F47" s="125">
        <f>SUM(F6:F46)</f>
        <v/>
      </c>
      <c r="G47" s="116">
        <f>F47*$J$1</f>
        <v/>
      </c>
      <c r="H47" s="118" t="n"/>
      <c r="I47" s="53" t="n"/>
      <c r="J47" s="53" t="n"/>
    </row>
    <row r="48" ht="31.2" customHeight="1" s="115">
      <c r="A48" s="95" t="inlineStr">
        <is>
          <t>Travel expense - Lodging 
住宿</t>
        </is>
      </c>
      <c r="B48" s="63" t="n"/>
      <c r="C48" s="95" t="n"/>
      <c r="D48" s="95" t="n"/>
      <c r="E48" s="95" t="n"/>
      <c r="F48" s="119" t="n"/>
      <c r="G48" s="116">
        <f>F48*$J$1</f>
        <v/>
      </c>
      <c r="H48" s="118" t="n"/>
      <c r="I48" s="44" t="n"/>
      <c r="J48" s="44" t="n"/>
    </row>
    <row r="49" ht="15.6" customHeight="1" s="115">
      <c r="A49" s="95" t="n"/>
      <c r="B49" s="64" t="n"/>
      <c r="C49" s="95" t="n"/>
      <c r="D49" s="95" t="n"/>
      <c r="E49" s="65" t="n"/>
      <c r="F49" s="119" t="n"/>
      <c r="G49" s="116">
        <f>F49*$J$1</f>
        <v/>
      </c>
      <c r="H49" s="118" t="n"/>
      <c r="I49" s="44" t="n"/>
      <c r="J49" s="44" t="n"/>
    </row>
    <row r="50" ht="8.1" customHeight="1" s="115">
      <c r="A50" s="95" t="n"/>
      <c r="B50" s="64" t="n"/>
      <c r="C50" s="95" t="n"/>
      <c r="D50" s="95" t="n"/>
      <c r="E50" s="95" t="n"/>
      <c r="F50" s="119" t="n"/>
      <c r="G50" s="116">
        <f>F50*$J$1</f>
        <v/>
      </c>
      <c r="H50" s="118" t="n"/>
      <c r="I50" s="44" t="n"/>
      <c r="J50" s="44" t="n"/>
    </row>
    <row r="51" ht="13.5" customHeight="1" s="115">
      <c r="A51" s="95" t="n"/>
      <c r="B51" s="64" t="n"/>
      <c r="C51" s="95" t="n"/>
      <c r="D51" s="95" t="n"/>
      <c r="E51" s="95" t="n"/>
      <c r="F51" s="119" t="n"/>
      <c r="G51" s="116">
        <f>F51*$J$1</f>
        <v/>
      </c>
      <c r="H51" s="118" t="n"/>
      <c r="I51" s="44" t="n"/>
      <c r="J51" s="44" t="n"/>
    </row>
    <row r="52" ht="30" customHeight="1" s="115">
      <c r="A52" s="62" t="inlineStr">
        <is>
          <t>Subtotal:
小計:</t>
        </is>
      </c>
      <c r="B52" s="123" t="n"/>
      <c r="C52" s="124" t="n"/>
      <c r="D52" s="66" t="n"/>
      <c r="E52" s="66" t="n"/>
      <c r="F52" s="125">
        <f>SUM(F49:F51)</f>
        <v/>
      </c>
      <c r="G52" s="116">
        <f>F52*$J$1</f>
        <v/>
      </c>
      <c r="H52" s="118" t="n"/>
      <c r="I52" s="44" t="n"/>
      <c r="J52" s="44" t="n"/>
    </row>
    <row r="53" ht="31.2" customHeight="1" s="115">
      <c r="A53" s="95" t="inlineStr">
        <is>
          <t>Travel expense - Meals 
餐费</t>
        </is>
      </c>
      <c r="B53" s="63" t="n"/>
      <c r="C53" s="95" t="n"/>
      <c r="D53" s="95" t="n"/>
      <c r="E53" s="95" t="n"/>
      <c r="F53" s="119" t="n"/>
      <c r="G53" s="116">
        <f>F53*$J$1</f>
        <v/>
      </c>
      <c r="H53" s="118" t="n"/>
      <c r="I53" s="95" t="n"/>
      <c r="J53" s="95" t="n"/>
    </row>
    <row r="54" ht="18" customHeight="1" s="115">
      <c r="A54" s="95" t="n"/>
      <c r="B54" s="64" t="n"/>
      <c r="C54" s="95" t="n"/>
      <c r="D54" s="95" t="n"/>
      <c r="E54" s="67" t="n"/>
      <c r="F54" s="119" t="n"/>
      <c r="G54" s="116">
        <f>F54*$J$1</f>
        <v/>
      </c>
      <c r="H54" s="118" t="n"/>
      <c r="I54" s="95" t="n"/>
      <c r="J54" s="95" t="n"/>
    </row>
    <row r="55" ht="30" customHeight="1" s="115">
      <c r="A55" s="62" t="inlineStr">
        <is>
          <t>Subtotal:
小計:</t>
        </is>
      </c>
      <c r="B55" s="123" t="n"/>
      <c r="C55" s="124" t="n"/>
      <c r="D55" s="62" t="n"/>
      <c r="E55" s="62" t="n"/>
      <c r="F55" s="125">
        <f>SUM(F53:F54)</f>
        <v/>
      </c>
      <c r="G55" s="116">
        <f>F55*$J$1</f>
        <v/>
      </c>
      <c r="H55" s="118" t="n"/>
      <c r="I55" s="95" t="n"/>
      <c r="J55" s="95" t="n"/>
    </row>
    <row r="56" ht="31.2" customHeight="1" s="115">
      <c r="A56" s="95" t="inlineStr">
        <is>
          <t>Advertising and publicity fee
广告宣传费用</t>
        </is>
      </c>
      <c r="B56" s="64" t="n"/>
      <c r="C56" s="95" t="n"/>
      <c r="D56" s="95" t="n"/>
      <c r="E56" s="67" t="n"/>
      <c r="F56" s="119" t="n"/>
      <c r="G56" s="116">
        <f>F56*$J$1</f>
        <v/>
      </c>
      <c r="H56" s="118" t="n"/>
      <c r="I56" s="95" t="n"/>
      <c r="J56" s="95" t="n"/>
    </row>
    <row r="57" ht="18" customHeight="1" s="115">
      <c r="A57" s="95" t="n"/>
      <c r="B57" s="64" t="n"/>
      <c r="C57" s="95" t="n"/>
      <c r="D57" s="95" t="n"/>
      <c r="E57" s="67" t="n"/>
      <c r="F57" s="119" t="n"/>
      <c r="G57" s="116">
        <f>F57*$J$1</f>
        <v/>
      </c>
      <c r="H57" s="118" t="n"/>
      <c r="I57" s="95" t="n"/>
      <c r="J57" s="95" t="n"/>
    </row>
    <row r="58" ht="30" customHeight="1" s="115">
      <c r="A58" s="62" t="inlineStr">
        <is>
          <t>Subtotal:
小計:</t>
        </is>
      </c>
      <c r="B58" s="123" t="n"/>
      <c r="C58" s="124" t="n"/>
      <c r="D58" s="62" t="n"/>
      <c r="E58" s="62" t="n"/>
      <c r="F58" s="125">
        <f>SUM(F56:F57)</f>
        <v/>
      </c>
      <c r="G58" s="116">
        <f>F58*$J$1</f>
        <v/>
      </c>
      <c r="H58" s="118" t="n"/>
      <c r="I58" s="95" t="n"/>
      <c r="J58" s="95" t="n"/>
    </row>
    <row r="59" ht="31.2" customHeight="1" s="115">
      <c r="A59" s="95" t="inlineStr">
        <is>
          <t>Office Cost
办公费</t>
        </is>
      </c>
      <c r="B59" s="63" t="n"/>
      <c r="C59" s="68" t="n"/>
      <c r="D59" s="95" t="n"/>
      <c r="E59" s="67" t="n"/>
      <c r="F59" s="119" t="n"/>
      <c r="G59" s="116">
        <f>F59*$J$1</f>
        <v/>
      </c>
      <c r="H59" s="118" t="n"/>
      <c r="I59" s="95" t="n"/>
      <c r="J59" s="95" t="n"/>
    </row>
    <row r="60" ht="18" customHeight="1" s="115">
      <c r="A60" s="95" t="n"/>
      <c r="B60" s="63" t="n"/>
      <c r="C60" s="68" t="n"/>
      <c r="D60" s="95" t="n"/>
      <c r="E60" s="67" t="n"/>
      <c r="F60" s="119" t="n"/>
      <c r="G60" s="116">
        <f>F60*$J$1</f>
        <v/>
      </c>
      <c r="H60" s="118" t="n"/>
      <c r="I60" s="95" t="n"/>
      <c r="J60" s="95" t="n"/>
    </row>
    <row r="61" ht="18" customHeight="1" s="115">
      <c r="A61" s="95" t="n"/>
      <c r="B61" s="63" t="n"/>
      <c r="C61" s="68" t="n"/>
      <c r="D61" s="95" t="n"/>
      <c r="E61" s="67" t="n"/>
      <c r="F61" s="119" t="n"/>
      <c r="G61" s="116">
        <f>F61*$J$1</f>
        <v/>
      </c>
      <c r="H61" s="118" t="n"/>
      <c r="I61" s="95" t="n"/>
      <c r="J61" s="95" t="n"/>
    </row>
    <row r="62" ht="18" customHeight="1" s="115">
      <c r="A62" s="95" t="n"/>
      <c r="B62" s="63" t="n"/>
      <c r="C62" s="68" t="n"/>
      <c r="D62" s="95" t="n"/>
      <c r="E62" s="67" t="n"/>
      <c r="F62" s="119" t="n"/>
      <c r="G62" s="116">
        <f>F62*$J$1</f>
        <v/>
      </c>
      <c r="H62" s="126" t="n"/>
      <c r="I62" s="95" t="n"/>
      <c r="J62" s="95" t="n"/>
    </row>
    <row r="63" ht="18" customHeight="1" s="115">
      <c r="A63" s="95" t="n"/>
      <c r="B63" s="64" t="n"/>
      <c r="C63" s="68" t="n"/>
      <c r="D63" s="95" t="n"/>
      <c r="E63" s="95" t="n"/>
      <c r="F63" s="119" t="n"/>
      <c r="G63" s="116">
        <f>F63*$J$1</f>
        <v/>
      </c>
      <c r="H63" s="95" t="n"/>
      <c r="I63" s="95" t="n"/>
      <c r="J63" s="95" t="n"/>
    </row>
    <row r="64" ht="18" customHeight="1" s="115">
      <c r="A64" s="95" t="n"/>
      <c r="B64" s="64" t="n"/>
      <c r="C64" s="68" t="n"/>
      <c r="D64" s="95" t="n"/>
      <c r="E64" s="95" t="n"/>
      <c r="F64" s="119" t="n"/>
      <c r="G64" s="116">
        <f>F64*$J$1</f>
        <v/>
      </c>
      <c r="H64" s="95" t="n"/>
      <c r="I64" s="95" t="n"/>
      <c r="J64" s="95" t="n"/>
    </row>
    <row r="65" ht="30" customHeight="1" s="115">
      <c r="A65" s="62" t="inlineStr">
        <is>
          <t>Subtotal:
小計:</t>
        </is>
      </c>
      <c r="B65" s="123" t="n"/>
      <c r="C65" s="124" t="n"/>
      <c r="D65" s="62" t="n"/>
      <c r="E65" s="62" t="n"/>
      <c r="F65" s="125">
        <f>SUM(F59:F64)</f>
        <v/>
      </c>
      <c r="G65" s="116">
        <f>F65*$J$1</f>
        <v/>
      </c>
      <c r="H65" s="95" t="n"/>
      <c r="I65" s="95" t="n"/>
      <c r="J65" s="95" t="n"/>
    </row>
    <row r="66" ht="31.2" customHeight="1" s="115">
      <c r="A66" s="95" t="inlineStr">
        <is>
          <t>Entertainment Expenses
招待费</t>
        </is>
      </c>
      <c r="B66" s="63" t="n"/>
      <c r="C66" s="95" t="n"/>
      <c r="D66" s="95" t="n"/>
      <c r="E66" s="67" t="n"/>
      <c r="F66" s="119" t="n"/>
      <c r="G66" s="116">
        <f>F66*$J$1</f>
        <v/>
      </c>
      <c r="H66" s="95" t="n"/>
      <c r="I66" s="95" t="n"/>
      <c r="J66" s="95" t="n"/>
    </row>
    <row r="67" ht="18" customHeight="1" s="115">
      <c r="A67" s="95" t="n"/>
      <c r="B67" s="63" t="n"/>
      <c r="C67" s="95" t="n"/>
      <c r="D67" s="95" t="n"/>
      <c r="E67" s="67" t="n"/>
      <c r="F67" s="119" t="n"/>
      <c r="G67" s="116">
        <f>F67*$J$1</f>
        <v/>
      </c>
      <c r="H67" s="95" t="n"/>
      <c r="I67" s="95" t="n"/>
      <c r="J67" s="95" t="n"/>
    </row>
    <row r="68" ht="18" customHeight="1" s="115">
      <c r="A68" s="95" t="n"/>
      <c r="B68" s="63" t="n"/>
      <c r="C68" s="95" t="n"/>
      <c r="D68" s="95" t="n"/>
      <c r="E68" s="67" t="n"/>
      <c r="F68" s="119" t="n"/>
      <c r="G68" s="116">
        <f>F68*$J$1</f>
        <v/>
      </c>
      <c r="H68" s="95" t="n"/>
      <c r="I68" s="95" t="n"/>
      <c r="J68" s="95" t="n"/>
    </row>
    <row r="69" ht="30" customHeight="1" s="115">
      <c r="A69" s="62" t="inlineStr">
        <is>
          <t>Subtotal:
小計:</t>
        </is>
      </c>
      <c r="B69" s="123" t="n"/>
      <c r="C69" s="124" t="n"/>
      <c r="D69" s="62" t="n"/>
      <c r="E69" s="62" t="n"/>
      <c r="F69" s="125">
        <f>SUM(F66:F68)</f>
        <v/>
      </c>
      <c r="G69" s="116">
        <f>F69*$J$1</f>
        <v/>
      </c>
      <c r="H69" s="95" t="n"/>
      <c r="I69" s="95" t="n"/>
      <c r="J69" s="95" t="n"/>
    </row>
    <row r="70" ht="30" customHeight="1" s="115">
      <c r="A70" s="95" t="inlineStr">
        <is>
          <t>Total：
合计：</t>
        </is>
      </c>
      <c r="B70" s="123" t="n"/>
      <c r="C70" s="124" t="n"/>
      <c r="D70" s="95" t="n"/>
      <c r="E70" s="95" t="n"/>
      <c r="F70" s="127">
        <f>SUM(F47,F52,F55,F58,F65,F69)</f>
        <v/>
      </c>
      <c r="G70" s="128">
        <f>F70*$J$1</f>
        <v/>
      </c>
      <c r="H70" s="95" t="n"/>
      <c r="I70" s="95" t="n"/>
      <c r="J70" s="95" t="n"/>
    </row>
  </sheetData>
  <mergeCells count="9">
    <mergeCell ref="A1:H1"/>
    <mergeCell ref="H5:H62"/>
    <mergeCell ref="A47:C47"/>
    <mergeCell ref="A58:C58"/>
    <mergeCell ref="A70:C70"/>
    <mergeCell ref="A69:C69"/>
    <mergeCell ref="A55:C55"/>
    <mergeCell ref="A65:C65"/>
    <mergeCell ref="A52:C52"/>
  </mergeCells>
  <dataValidations count="5">
    <dataValidation sqref="D66:D68" showDropDown="0" showInputMessage="1" showErrorMessage="1" allowBlank="1" promptTitle="Number of  people" prompt="Please specify the number of people for the entertainment expense_x000a_"/>
    <dataValidation sqref="C6 C8:C46" showDropDown="0" showInputMessage="1" showErrorMessage="1" allowBlank="1" promptTitle="Start，End &amp; Companion" prompt="Please specify your starting location, ending location. If you are travel with someone, please provide his or her name. "/>
    <dataValidation sqref="C67:C68" showDropDown="0" showInputMessage="1" showErrorMessage="1" allowBlank="1" promptTitle="Client Name and Number of people" prompt="Please provide the FULL client name and provide how many people thre are in the event. "/>
    <dataValidation sqref="C66" showDropDown="0" showInputMessage="1" showErrorMessage="1" allowBlank="1" promptTitle="Client Name and Number of people" prompt="Please provide the FULL client name and provide how many people there are in the event. "/>
    <dataValidation sqref="C48:C51" showDropDown="0" showInputMessage="1" showErrorMessage="1" allowBlank="1" promptTitle="City, nights &amp; Companion" prompt="Please specify which city are you in, how many nights did you stay. If you are traveling with someone, please provide his or her name. "/>
  </dataValidations>
  <printOptions horizontalCentered="1"/>
  <pageMargins left="0.25" right="0.25" top="0.25" bottom="0.25" header="0.1" footer="0.1"/>
  <pageSetup orientation="portrait" scale="36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5"/>
  <sheetViews>
    <sheetView tabSelected="1" topLeftCell="A15" workbookViewId="0">
      <selection activeCell="B16" sqref="B16:E27"/>
    </sheetView>
  </sheetViews>
  <sheetFormatPr baseColWidth="8" defaultColWidth="11" defaultRowHeight="15.6"/>
  <cols>
    <col width="11" customWidth="1" style="101" min="1" max="1"/>
    <col width="25.8984375" customWidth="1" style="115" min="2" max="2"/>
    <col width="17" customWidth="1" style="101" min="3" max="3"/>
    <col width="92.69921875" customWidth="1" style="115" min="4" max="4"/>
    <col width="50.69921875" customWidth="1" style="115" min="5" max="5"/>
    <col width="81" customWidth="1" style="115" min="6" max="6"/>
  </cols>
  <sheetData>
    <row r="1">
      <c r="A1" s="76" t="inlineStr">
        <is>
          <t>序号</t>
        </is>
      </c>
      <c r="B1" s="58" t="inlineStr">
        <is>
          <t>Date日期</t>
        </is>
      </c>
      <c r="C1" s="129" t="inlineStr">
        <is>
          <t>Expense支出</t>
        </is>
      </c>
      <c r="D1" s="80" t="inlineStr">
        <is>
          <t>Receipt发票</t>
        </is>
      </c>
      <c r="E1" s="80" t="inlineStr">
        <is>
          <t>Proof of Payment银行付款凭证</t>
        </is>
      </c>
    </row>
    <row r="2" s="115">
      <c r="A2" s="76" t="n"/>
      <c r="B2" s="58" t="n"/>
      <c r="C2" s="130" t="n"/>
      <c r="D2" s="80" t="n"/>
      <c r="E2" s="80" t="n"/>
    </row>
    <row r="3" s="115">
      <c r="A3" s="76" t="n"/>
      <c r="B3" s="58" t="n"/>
      <c r="C3" s="130" t="n"/>
      <c r="D3" s="80" t="n"/>
      <c r="E3" s="80" t="n"/>
    </row>
    <row r="4" s="115">
      <c r="A4" s="76" t="n"/>
      <c r="B4" s="58" t="n"/>
      <c r="C4" s="130" t="n"/>
      <c r="D4" s="80" t="n"/>
      <c r="E4" s="80" t="n"/>
    </row>
    <row r="5" s="115">
      <c r="A5" s="76" t="n"/>
      <c r="B5" s="58" t="n"/>
      <c r="C5" s="130" t="n"/>
      <c r="D5" s="80" t="n"/>
      <c r="E5" s="80" t="n"/>
    </row>
    <row r="6" s="115">
      <c r="A6" s="76" t="n"/>
      <c r="B6" s="58" t="n"/>
      <c r="C6" s="130" t="n"/>
      <c r="D6" s="80" t="n"/>
      <c r="E6" s="80" t="n"/>
    </row>
    <row r="7" s="115">
      <c r="A7" s="76" t="n"/>
      <c r="B7" s="58" t="n"/>
      <c r="C7" s="130" t="n"/>
      <c r="D7" s="80" t="n"/>
      <c r="E7" s="80" t="n"/>
    </row>
    <row r="8" s="115">
      <c r="A8" s="76" t="n"/>
      <c r="B8" s="58" t="n"/>
      <c r="C8" s="130" t="n"/>
      <c r="D8" s="80" t="n"/>
      <c r="E8" s="80" t="n"/>
    </row>
    <row r="9" s="115">
      <c r="A9" s="76" t="n"/>
      <c r="B9" s="58" t="n"/>
      <c r="C9" s="130" t="n"/>
      <c r="D9" s="80" t="n"/>
      <c r="E9" s="80" t="n"/>
    </row>
    <row r="10" s="115">
      <c r="A10" s="76" t="n"/>
      <c r="B10" s="58" t="n"/>
      <c r="C10" s="130" t="n"/>
      <c r="D10" s="80" t="n"/>
      <c r="E10" s="80" t="n"/>
    </row>
    <row r="11" s="115">
      <c r="A11" s="76" t="n"/>
      <c r="B11" s="58" t="n"/>
      <c r="C11" s="130" t="n"/>
      <c r="D11" s="80" t="n"/>
      <c r="E11" s="80" t="n"/>
    </row>
    <row r="12" s="115">
      <c r="A12" s="76" t="n"/>
      <c r="B12" s="58" t="n"/>
      <c r="C12" s="130" t="n"/>
      <c r="D12" s="80" t="n"/>
      <c r="E12" s="80" t="n"/>
    </row>
    <row r="13" s="115">
      <c r="A13" s="76" t="n"/>
      <c r="B13" s="58" t="n"/>
      <c r="C13" s="130" t="n"/>
      <c r="D13" s="80" t="n"/>
      <c r="E13" s="80" t="n"/>
    </row>
    <row r="14" s="115">
      <c r="A14" s="76" t="n"/>
      <c r="B14" s="58" t="n"/>
      <c r="C14" s="130" t="n"/>
      <c r="D14" s="80" t="n"/>
      <c r="E14" s="80" t="n"/>
    </row>
    <row r="15" s="115">
      <c r="A15" s="76" t="n"/>
      <c r="B15" s="58" t="n"/>
      <c r="C15" s="130" t="n"/>
      <c r="D15" s="80" t="n"/>
      <c r="E15" s="80" t="n"/>
    </row>
    <row r="16" s="115">
      <c r="A16" s="76" t="n"/>
      <c r="B16" s="58" t="n"/>
      <c r="C16" s="130" t="n"/>
      <c r="D16" s="67" t="n"/>
      <c r="E16" s="80" t="n"/>
    </row>
    <row r="17" s="115">
      <c r="A17" s="76" t="n"/>
      <c r="B17" s="58" t="n"/>
      <c r="C17" s="130" t="n"/>
      <c r="D17" s="67" t="n"/>
      <c r="E17" s="80" t="n"/>
    </row>
    <row r="18" s="115">
      <c r="A18" s="76" t="n"/>
      <c r="B18" s="58" t="n"/>
      <c r="C18" s="130" t="n"/>
      <c r="D18" s="67" t="n"/>
      <c r="E18" s="80" t="n"/>
    </row>
    <row r="19" s="115">
      <c r="A19" s="76" t="n"/>
      <c r="B19" s="58" t="n"/>
      <c r="C19" s="130" t="n"/>
      <c r="D19" s="67" t="n"/>
      <c r="E19" s="80" t="n"/>
    </row>
    <row r="20" s="115">
      <c r="A20" s="76" t="n"/>
      <c r="B20" s="58" t="n"/>
      <c r="C20" s="130" t="n"/>
      <c r="D20" s="67" t="n"/>
      <c r="E20" s="80" t="n"/>
    </row>
    <row r="21" s="115">
      <c r="A21" s="76" t="n"/>
      <c r="B21" s="58" t="n"/>
      <c r="C21" s="130" t="n"/>
      <c r="D21" s="67" t="n"/>
      <c r="E21" s="80" t="n"/>
    </row>
    <row r="22" s="115">
      <c r="A22" s="76" t="n"/>
      <c r="B22" s="58" t="n"/>
      <c r="C22" s="130" t="n"/>
      <c r="D22" s="67" t="n"/>
      <c r="E22" s="80" t="n"/>
    </row>
    <row r="23" s="115">
      <c r="A23" s="76" t="n"/>
      <c r="B23" s="58" t="n"/>
      <c r="C23" s="130" t="n"/>
      <c r="D23" s="67" t="n"/>
      <c r="E23" s="80" t="n"/>
    </row>
    <row r="24" s="115">
      <c r="A24" s="76" t="n"/>
      <c r="B24" s="58" t="n"/>
      <c r="C24" s="130" t="n"/>
      <c r="D24" s="67" t="n"/>
      <c r="E24" s="80" t="n"/>
    </row>
    <row r="25" s="115">
      <c r="A25" s="76" t="n"/>
      <c r="B25" s="58" t="n"/>
      <c r="C25" s="130" t="n"/>
      <c r="D25" s="67" t="n"/>
      <c r="E25" s="80" t="n"/>
    </row>
    <row r="26" s="115">
      <c r="A26" s="76" t="n"/>
      <c r="B26" s="58" t="n"/>
      <c r="C26" s="130" t="n"/>
      <c r="D26" s="67" t="n"/>
      <c r="E26" s="80" t="n"/>
    </row>
    <row r="27" s="115">
      <c r="A27" s="76" t="n"/>
      <c r="B27" s="58" t="n"/>
      <c r="C27" s="130" t="n"/>
      <c r="D27" s="67" t="n"/>
      <c r="E27" s="80" t="n"/>
    </row>
    <row r="28" s="115">
      <c r="A28" s="103" t="n"/>
      <c r="B28" s="77" t="n"/>
      <c r="C28" s="78" t="n"/>
      <c r="D28" s="77" t="n"/>
      <c r="E28" s="77" t="n"/>
    </row>
    <row r="29" s="115">
      <c r="A29" s="103" t="n"/>
      <c r="B29" s="18" t="n"/>
      <c r="C29" s="103" t="n"/>
      <c r="D29" s="18" t="n"/>
      <c r="E29" s="18" t="n"/>
    </row>
    <row r="30" s="115">
      <c r="A30" s="103" t="n"/>
      <c r="B30" s="18" t="n"/>
      <c r="C30" s="103" t="n"/>
      <c r="D30" s="18" t="n"/>
      <c r="E30" s="18" t="n"/>
    </row>
    <row r="31" s="115">
      <c r="A31" s="103" t="n"/>
      <c r="B31" s="18" t="n"/>
      <c r="C31" s="103" t="n"/>
      <c r="D31" s="18" t="n"/>
      <c r="E31" s="18" t="n"/>
    </row>
    <row r="32" s="115">
      <c r="A32" s="103" t="n"/>
      <c r="B32" s="25" t="n"/>
      <c r="C32" s="24" t="n"/>
      <c r="D32" s="18" t="n"/>
      <c r="E32" s="18" t="n"/>
    </row>
    <row r="33" s="115">
      <c r="A33" s="103" t="n"/>
      <c r="B33" s="18" t="n"/>
      <c r="C33" s="24" t="n"/>
      <c r="D33" s="18" t="n"/>
      <c r="E33" s="18" t="n"/>
    </row>
    <row r="34" s="115">
      <c r="A34" s="103" t="n"/>
      <c r="B34" s="18" t="n"/>
      <c r="C34" s="103" t="n"/>
      <c r="D34" s="18" t="n"/>
      <c r="E34" s="18" t="n"/>
    </row>
    <row r="35" s="115">
      <c r="A35" s="103" t="n"/>
      <c r="B35" s="18" t="n"/>
      <c r="C35" s="103" t="n"/>
      <c r="D35" s="18" t="n"/>
      <c r="E35" s="18" t="n"/>
    </row>
    <row r="36" s="115">
      <c r="A36" s="103" t="n"/>
      <c r="B36" s="18" t="n"/>
      <c r="C36" s="103" t="n"/>
      <c r="D36" s="18" t="n"/>
      <c r="E36" s="18" t="n"/>
    </row>
    <row r="37" s="115">
      <c r="A37" s="103" t="n"/>
      <c r="B37" s="18" t="n"/>
      <c r="C37" s="103" t="n"/>
      <c r="D37" s="18" t="n"/>
      <c r="E37" s="18" t="n"/>
    </row>
    <row r="38" s="115">
      <c r="A38" s="103" t="n"/>
      <c r="B38" s="18" t="n"/>
      <c r="C38" s="103" t="n"/>
      <c r="D38" s="18" t="n"/>
      <c r="E38" s="18" t="n"/>
    </row>
    <row r="39" s="115">
      <c r="A39" s="103" t="n"/>
      <c r="B39" s="18" t="n"/>
      <c r="C39" s="103" t="n"/>
      <c r="D39" s="18" t="n"/>
      <c r="E39" s="18" t="n"/>
    </row>
    <row r="40" s="115">
      <c r="A40" s="103" t="n"/>
      <c r="B40" s="18" t="n"/>
      <c r="C40" s="103" t="n"/>
      <c r="D40" s="18" t="n"/>
      <c r="E40" s="18" t="n"/>
    </row>
    <row r="41" s="115">
      <c r="A41" s="103" t="n"/>
      <c r="B41" s="18" t="n"/>
      <c r="C41" s="103" t="n"/>
      <c r="D41" s="18" t="n"/>
      <c r="E41" s="18" t="n"/>
    </row>
    <row r="42" s="115">
      <c r="A42" s="103" t="n"/>
      <c r="B42" s="18" t="n"/>
      <c r="C42" s="103" t="n"/>
      <c r="D42" s="18" t="n"/>
      <c r="E42" s="18" t="n"/>
    </row>
    <row r="43" s="115">
      <c r="A43" s="103" t="n"/>
      <c r="B43" s="18" t="n"/>
      <c r="C43" s="103" t="n"/>
      <c r="D43" s="18" t="n"/>
      <c r="E43" s="18" t="n"/>
    </row>
    <row r="44" s="115">
      <c r="A44" s="103" t="n"/>
      <c r="B44" s="18" t="n"/>
      <c r="C44" s="103" t="n"/>
    </row>
    <row r="45" s="115">
      <c r="A45" s="103" t="n"/>
      <c r="B45" s="18" t="n"/>
      <c r="C45" s="103" t="n"/>
    </row>
    <row r="46" s="115">
      <c r="A46" s="103" t="n"/>
      <c r="B46" s="18" t="n"/>
      <c r="C46" s="103" t="n"/>
    </row>
    <row r="47" s="115">
      <c r="A47" s="103" t="n"/>
      <c r="B47" s="18" t="n"/>
      <c r="C47" s="103" t="n"/>
    </row>
    <row r="48" s="115">
      <c r="A48" s="103" t="n"/>
    </row>
    <row r="49" s="115">
      <c r="A49" s="103" t="n"/>
    </row>
    <row r="50" s="115">
      <c r="A50" s="103" t="n"/>
    </row>
    <row r="51" s="115">
      <c r="A51" s="103" t="n"/>
    </row>
    <row r="52" s="115">
      <c r="A52" s="103" t="n"/>
    </row>
    <row r="53" s="115">
      <c r="A53" s="103" t="n"/>
    </row>
    <row r="54" s="115">
      <c r="A54" s="103" t="n"/>
    </row>
    <row r="55" s="115">
      <c r="A55" s="103" t="n"/>
    </row>
  </sheetData>
  <pageMargins left="0.7" right="0.7" top="0.75" bottom="0.75" header="0.3" footer="0.3"/>
  <pageSetup orientation="portrait" scale="45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ColWidth="9" defaultRowHeight="17.4"/>
  <cols>
    <col width="13" customWidth="1" style="26" min="1" max="2"/>
    <col width="14.5" customWidth="1" style="26" min="3" max="3"/>
    <col width="6.5" customWidth="1" style="26" min="4" max="4"/>
    <col width="24.5" customWidth="1" style="26" min="5" max="5"/>
    <col width="11.8984375" customWidth="1" style="26" min="6" max="6"/>
    <col width="36.3984375" customWidth="1" style="26" min="7" max="7"/>
    <col width="20" customWidth="1" style="26" min="8" max="8"/>
    <col width="14.3984375" customWidth="1" style="26" min="9" max="9"/>
    <col width="31.8984375" customWidth="1" style="26" min="10" max="10"/>
    <col width="19.3984375" customWidth="1" style="26" min="11" max="11"/>
    <col width="20" customWidth="1" style="26" min="12" max="12"/>
    <col width="9" customWidth="1" style="26" min="13" max="16384"/>
  </cols>
  <sheetData>
    <row r="1" ht="32.4" customHeight="1" s="115">
      <c r="A1" s="32" t="inlineStr">
        <is>
          <t>Purpose
事由</t>
        </is>
      </c>
      <c r="B1" s="32" t="inlineStr">
        <is>
          <t>Companion
同行人</t>
        </is>
      </c>
      <c r="C1" s="32" t="inlineStr">
        <is>
          <t>Travel date
日期</t>
        </is>
      </c>
      <c r="D1" s="33" t="inlineStr">
        <is>
          <t>Miles
公里數</t>
        </is>
      </c>
      <c r="E1" s="32" t="inlineStr">
        <is>
          <t>Mileage Rate
油費補助0.585USD/mile</t>
        </is>
      </c>
      <c r="F1" s="32" t="inlineStr">
        <is>
          <t>Customer
客戶</t>
        </is>
      </c>
      <c r="G1" s="32" t="inlineStr">
        <is>
          <t>Departure and destination
行程</t>
        </is>
      </c>
      <c r="H1" s="32" t="inlineStr">
        <is>
          <t>Map of Route
路線地圖</t>
        </is>
      </c>
      <c r="I1" s="32" t="inlineStr">
        <is>
          <t>Parking Fee
停車費</t>
        </is>
      </c>
      <c r="J1" s="32" t="inlineStr">
        <is>
          <t>Receipt Of Parking
停車費收據</t>
        </is>
      </c>
      <c r="K1" s="32" t="inlineStr">
        <is>
          <t>Toll Fee
高速公路過路費</t>
        </is>
      </c>
      <c r="L1" s="32" t="inlineStr">
        <is>
          <t>Receipt Of Toll Fee
收據</t>
        </is>
      </c>
    </row>
    <row r="2" ht="13.5" customHeight="1" s="115">
      <c r="A2" s="36" t="n"/>
      <c r="B2" s="36" t="n"/>
      <c r="C2" s="37" t="n"/>
      <c r="D2" s="38" t="n"/>
      <c r="E2" s="131">
        <f>D2*0.585</f>
        <v/>
      </c>
      <c r="F2" s="40" t="n"/>
      <c r="G2" s="41" t="n"/>
      <c r="H2" s="36" t="n"/>
      <c r="I2" s="132" t="n"/>
      <c r="J2" s="36" t="n"/>
      <c r="K2" s="132" t="n"/>
      <c r="L2" s="36" t="n"/>
    </row>
    <row r="3" ht="13.5" customHeight="1" s="115">
      <c r="A3" s="27" t="n"/>
      <c r="B3" s="27" t="n"/>
      <c r="C3" s="31" t="n"/>
      <c r="D3" s="31" t="n"/>
      <c r="E3" s="131">
        <f>D3*0.585</f>
        <v/>
      </c>
      <c r="F3" s="30" t="n"/>
      <c r="G3" s="29" t="n"/>
      <c r="H3" s="27" t="n"/>
      <c r="I3" s="133" t="n"/>
      <c r="J3" s="27" t="n"/>
      <c r="K3" s="133" t="n"/>
      <c r="L3" s="27" t="n"/>
    </row>
    <row r="4" ht="13.5" customHeight="1" s="115">
      <c r="A4" s="27" t="n"/>
      <c r="B4" s="27" t="n"/>
      <c r="C4" s="31" t="n"/>
      <c r="D4" s="31" t="n"/>
      <c r="E4" s="131">
        <f>D4*0.585</f>
        <v/>
      </c>
      <c r="F4" s="30" t="n"/>
      <c r="G4" s="29" t="n"/>
      <c r="H4" s="27" t="n"/>
      <c r="I4" s="133" t="n"/>
      <c r="J4" s="27" t="n"/>
      <c r="K4" s="133" t="n"/>
      <c r="L4" s="27" t="n"/>
    </row>
    <row r="5" ht="13.5" customHeight="1" s="115">
      <c r="A5" s="27" t="n"/>
      <c r="B5" s="27" t="n"/>
      <c r="C5" s="31" t="n"/>
      <c r="D5" s="31" t="n"/>
      <c r="E5" s="131">
        <f>D5*0.585</f>
        <v/>
      </c>
      <c r="F5" s="30" t="n"/>
      <c r="G5" s="29" t="n"/>
      <c r="H5" s="27" t="n"/>
      <c r="I5" s="133" t="n"/>
      <c r="J5" s="27" t="n"/>
      <c r="K5" s="133" t="n"/>
      <c r="L5" s="27" t="n"/>
    </row>
    <row r="6" ht="13.5" customHeight="1" s="115">
      <c r="A6" s="27" t="n"/>
      <c r="B6" s="27" t="n"/>
      <c r="C6" s="31" t="n"/>
      <c r="D6" s="31" t="n"/>
      <c r="E6" s="131">
        <f>D6*0.585</f>
        <v/>
      </c>
      <c r="F6" s="30" t="n"/>
      <c r="G6" s="29" t="n"/>
      <c r="H6" s="27" t="n"/>
      <c r="I6" s="133" t="n"/>
      <c r="J6" s="27" t="n"/>
      <c r="K6" s="133" t="n"/>
      <c r="L6" s="27" t="n"/>
    </row>
    <row r="7" ht="13.5" customHeight="1" s="115">
      <c r="A7" s="27" t="n"/>
      <c r="B7" s="27" t="n"/>
      <c r="C7" s="31" t="n"/>
      <c r="D7" s="31" t="n"/>
      <c r="E7" s="131">
        <f>D7*0.585</f>
        <v/>
      </c>
      <c r="F7" s="30" t="n"/>
      <c r="G7" s="29" t="n"/>
      <c r="H7" s="27" t="n"/>
      <c r="I7" s="133" t="n"/>
      <c r="J7" s="27" t="n"/>
      <c r="K7" s="133" t="n"/>
      <c r="L7" s="27" t="n"/>
    </row>
    <row r="8" ht="13.5" customHeight="1" s="115">
      <c r="A8" s="27" t="n"/>
      <c r="B8" s="27" t="n"/>
      <c r="C8" s="31" t="n"/>
      <c r="D8" s="31" t="n"/>
      <c r="E8" s="131">
        <f>D8*0.585</f>
        <v/>
      </c>
      <c r="F8" s="30" t="n"/>
      <c r="G8" s="29" t="n"/>
      <c r="H8" s="27" t="n"/>
      <c r="I8" s="133" t="n"/>
      <c r="J8" s="27" t="n"/>
      <c r="K8" s="133" t="n"/>
      <c r="L8" s="27" t="n"/>
    </row>
    <row r="9" ht="13.5" customHeight="1" s="115">
      <c r="A9" s="27" t="n"/>
      <c r="B9" s="27" t="n"/>
      <c r="C9" s="31" t="n"/>
      <c r="D9" s="31" t="n"/>
      <c r="E9" s="131">
        <f>D9*0.585</f>
        <v/>
      </c>
      <c r="F9" s="30" t="n"/>
      <c r="G9" s="29" t="n"/>
      <c r="H9" s="27" t="n"/>
      <c r="I9" s="133" t="n"/>
      <c r="J9" s="27" t="n"/>
      <c r="K9" s="133" t="n"/>
      <c r="L9" s="27" t="n"/>
    </row>
    <row r="10" ht="13.5" customHeight="1" s="115">
      <c r="A10" s="27" t="n"/>
      <c r="B10" s="27" t="n"/>
      <c r="C10" s="31" t="n"/>
      <c r="D10" s="31" t="n"/>
      <c r="E10" s="131">
        <f>D10*0.585</f>
        <v/>
      </c>
      <c r="F10" s="30" t="n"/>
      <c r="G10" s="29" t="n"/>
      <c r="H10" s="27" t="n"/>
      <c r="I10" s="133" t="n"/>
      <c r="J10" s="27" t="n"/>
      <c r="K10" s="133" t="n"/>
      <c r="L10" s="27" t="n"/>
    </row>
    <row r="11" ht="13.5" customHeight="1" s="115">
      <c r="A11" s="27" t="n"/>
      <c r="B11" s="27" t="n"/>
      <c r="C11" s="31" t="n"/>
      <c r="D11" s="31" t="n"/>
      <c r="E11" s="131">
        <f>D11*0.585</f>
        <v/>
      </c>
      <c r="F11" s="30" t="n"/>
      <c r="G11" s="29" t="n"/>
      <c r="H11" s="27" t="n"/>
      <c r="I11" s="133" t="n"/>
      <c r="J11" s="27" t="n"/>
      <c r="K11" s="133" t="n"/>
      <c r="L11" s="27" t="n"/>
    </row>
    <row r="12" ht="13.5" customHeight="1" s="115">
      <c r="A12" s="27" t="n"/>
      <c r="B12" s="27" t="n"/>
      <c r="C12" s="31" t="n"/>
      <c r="D12" s="31" t="n"/>
      <c r="E12" s="131">
        <f>D12*0.585</f>
        <v/>
      </c>
      <c r="F12" s="30" t="n"/>
      <c r="G12" s="29" t="n"/>
      <c r="H12" s="27" t="n"/>
      <c r="I12" s="133" t="n"/>
      <c r="J12" s="27" t="n"/>
      <c r="K12" s="133" t="n"/>
      <c r="L12" s="27" t="n"/>
    </row>
    <row r="13" ht="13.5" customHeight="1" s="115">
      <c r="A13" s="27" t="n"/>
      <c r="B13" s="27" t="n"/>
      <c r="C13" s="31" t="n"/>
      <c r="D13" s="31" t="n"/>
      <c r="E13" s="131">
        <f>D13*0.585</f>
        <v/>
      </c>
      <c r="F13" s="30" t="n"/>
      <c r="G13" s="29" t="n"/>
      <c r="H13" s="27" t="n"/>
      <c r="I13" s="133" t="n"/>
      <c r="J13" s="27" t="n"/>
      <c r="K13" s="133" t="n"/>
      <c r="L13" s="27" t="n"/>
    </row>
    <row r="14" ht="13.5" customHeight="1" s="115">
      <c r="A14" s="27" t="n"/>
      <c r="B14" s="27" t="n"/>
      <c r="C14" s="31" t="n"/>
      <c r="D14" s="31" t="n"/>
      <c r="E14" s="131">
        <f>D14*0.585</f>
        <v/>
      </c>
      <c r="F14" s="30" t="n"/>
      <c r="G14" s="29" t="n"/>
      <c r="H14" s="27" t="n"/>
      <c r="I14" s="133" t="n"/>
      <c r="J14" s="27" t="n"/>
      <c r="K14" s="133" t="n"/>
      <c r="L14" s="27" t="n"/>
    </row>
    <row r="15" ht="13.5" customHeight="1" s="115">
      <c r="A15" s="27" t="n"/>
      <c r="B15" s="27" t="n"/>
      <c r="C15" s="31" t="n"/>
      <c r="D15" s="31" t="n"/>
      <c r="E15" s="131">
        <f>D15*0.585</f>
        <v/>
      </c>
      <c r="F15" s="30" t="n"/>
      <c r="G15" s="29" t="n"/>
      <c r="H15" s="27" t="n"/>
      <c r="I15" s="133" t="n"/>
      <c r="J15" s="27" t="n"/>
      <c r="K15" s="133" t="n"/>
      <c r="L15" s="27" t="n"/>
    </row>
    <row r="16" ht="13.5" customHeight="1" s="115">
      <c r="A16" s="28" t="n"/>
      <c r="B16" s="28" t="n"/>
      <c r="C16" s="27" t="n"/>
      <c r="D16" s="27" t="n"/>
      <c r="E16" s="131">
        <f>D16*0.585</f>
        <v/>
      </c>
      <c r="F16" s="27" t="n"/>
      <c r="G16" s="27" t="n"/>
      <c r="H16" s="27" t="n"/>
      <c r="I16" s="133" t="n"/>
      <c r="J16" s="27" t="n"/>
      <c r="K16" s="133" t="n"/>
      <c r="L16" s="27" t="n"/>
    </row>
    <row r="17" ht="22.65" customHeight="1" s="115">
      <c r="A17" s="28" t="inlineStr">
        <is>
          <t>Sub Total</t>
        </is>
      </c>
      <c r="B17" s="28" t="n"/>
      <c r="C17" s="27" t="n"/>
      <c r="D17" s="27" t="n"/>
      <c r="E17" s="134">
        <f>E16+I16+K16</f>
        <v/>
      </c>
      <c r="F17" s="27" t="n"/>
      <c r="G17" s="27" t="n"/>
      <c r="H17" s="27" t="n"/>
      <c r="I17" s="27" t="n"/>
      <c r="J17" s="27" t="n"/>
      <c r="K17" s="27" t="n"/>
      <c r="L17" s="27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ColWidth="9" defaultRowHeight="15.6"/>
  <cols>
    <col width="17.5" customWidth="1" style="115" min="1" max="1"/>
    <col width="32.59765625" customWidth="1" style="115" min="2" max="3"/>
    <col hidden="1" width="29.09765625" customWidth="1" style="101" min="4" max="4"/>
    <col width="12.09765625" customWidth="1" style="115" min="5" max="5"/>
    <col width="18.09765625" customWidth="1" style="115" min="6" max="6"/>
    <col width="8.09765625" customWidth="1" style="115" min="7" max="7"/>
    <col width="12.8984375" customWidth="1" style="115" min="8" max="8"/>
  </cols>
  <sheetData>
    <row r="1" ht="15" customFormat="1" customHeight="1" s="1">
      <c r="A1" s="97" t="inlineStr">
        <is>
          <t>费  用  报  销  单Expense statement</t>
        </is>
      </c>
    </row>
    <row r="2" ht="11.7" customHeight="1" s="115">
      <c r="A2" s="99" t="inlineStr">
        <is>
          <t xml:space="preserve">报销部门：国际营销                    2023年    月  日   填                    单据及附件共    页
To submit an expense account department：Front End International Marketing Department                                Date：  </t>
        </is>
      </c>
    </row>
    <row r="3" ht="31.2" customHeight="1" s="115">
      <c r="A3" s="102" t="inlineStr">
        <is>
          <t>用途
With the way</t>
        </is>
      </c>
      <c r="B3" s="135" t="n"/>
      <c r="C3" s="6" t="inlineStr">
        <is>
          <t>金额(美金USD)</t>
        </is>
      </c>
      <c r="D3" s="102" t="inlineStr">
        <is>
          <t>金额（人民币）
Amount (RMB)</t>
        </is>
      </c>
      <c r="E3" s="102" t="inlineStr">
        <is>
          <t>备
注
To prepare
note</t>
        </is>
      </c>
      <c r="F3" s="103" t="n"/>
      <c r="G3" s="136" t="n"/>
      <c r="H3" s="137" t="n"/>
    </row>
    <row r="4" ht="21.15" customHeight="1" s="115">
      <c r="A4" s="102">
        <f>'Expense report'!A6</f>
        <v/>
      </c>
      <c r="B4" s="135" t="n"/>
      <c r="C4" s="103">
        <f>'Expense report'!F47</f>
        <v/>
      </c>
      <c r="D4" s="138">
        <f>'Expense report'!G47</f>
        <v/>
      </c>
      <c r="E4" s="139" t="n"/>
      <c r="F4" s="140" t="n"/>
      <c r="H4" s="141" t="n"/>
    </row>
    <row r="5" ht="15" customHeight="1" s="115">
      <c r="A5" s="102">
        <f>'Expense report'!A48</f>
        <v/>
      </c>
      <c r="B5" s="135" t="n"/>
      <c r="C5" s="103">
        <f>'Expense report'!F52</f>
        <v/>
      </c>
      <c r="D5" s="138">
        <f>'Expense report'!G52</f>
        <v/>
      </c>
      <c r="E5" s="139" t="n"/>
      <c r="F5" s="140" t="n"/>
      <c r="H5" s="141" t="n"/>
    </row>
    <row r="6" ht="21.15" customHeight="1" s="115">
      <c r="A6" s="102">
        <f>'Expense report'!A53</f>
        <v/>
      </c>
      <c r="B6" s="135" t="n"/>
      <c r="C6" s="103">
        <f>'Expense report'!F55</f>
        <v/>
      </c>
      <c r="D6" s="138">
        <f>'Expense report'!G55</f>
        <v/>
      </c>
      <c r="E6" s="139" t="n"/>
      <c r="F6" s="140" t="n"/>
      <c r="H6" s="141" t="n"/>
    </row>
    <row r="7" ht="25.8" customHeight="1" s="115">
      <c r="A7" s="102">
        <f>'Expense report'!A56</f>
        <v/>
      </c>
      <c r="B7" s="135" t="n"/>
      <c r="C7" s="103">
        <f>'Expense report'!F58</f>
        <v/>
      </c>
      <c r="D7" s="138">
        <f>'Expense report'!G58</f>
        <v/>
      </c>
      <c r="E7" s="139" t="n"/>
      <c r="F7" s="140" t="n"/>
      <c r="H7" s="141" t="n"/>
    </row>
    <row r="8" ht="14.55" customHeight="1" s="115">
      <c r="A8" s="103">
        <f>'Expense report'!A59</f>
        <v/>
      </c>
      <c r="B8" s="135" t="n"/>
      <c r="C8" s="103">
        <f>'Expense report'!F65</f>
        <v/>
      </c>
      <c r="D8" s="138">
        <f>'Expense report'!G65</f>
        <v/>
      </c>
      <c r="E8" s="139" t="n"/>
      <c r="F8" s="140" t="n"/>
      <c r="H8" s="141" t="n"/>
    </row>
    <row r="9" ht="20.4" customHeight="1" s="115">
      <c r="A9" s="103">
        <f>'Expense report'!A66</f>
        <v/>
      </c>
      <c r="B9" s="135" t="n"/>
      <c r="C9" s="103">
        <f>'Expense report'!F69</f>
        <v/>
      </c>
      <c r="D9" s="138">
        <f>'Expense report'!G69</f>
        <v/>
      </c>
      <c r="E9" s="142" t="n"/>
      <c r="F9" s="143" t="n"/>
      <c r="G9" s="144" t="n"/>
      <c r="H9" s="145" t="n"/>
    </row>
    <row r="10" ht="20.7" customHeight="1" s="115">
      <c r="A10" s="102" t="inlineStr">
        <is>
          <t>Mileage Reimbursment 
私车公用</t>
        </is>
      </c>
      <c r="B10" s="135" t="n"/>
      <c r="C10" s="103">
        <f>'Mileage Reimbursement'!E17</f>
        <v/>
      </c>
      <c r="D10" s="138" t="n"/>
      <c r="E10" s="102" t="inlineStr">
        <is>
          <t>部
门
审
核
Department audit</t>
        </is>
      </c>
      <c r="F10" s="103" t="n"/>
      <c r="G10" s="102" t="inlineStr">
        <is>
          <t>领
导
审
批
Leadership audit</t>
        </is>
      </c>
      <c r="H10" s="103" t="n"/>
    </row>
    <row r="11" ht="28.95" customHeight="1" s="115">
      <c r="A11" s="76" t="inlineStr">
        <is>
          <t>合          计</t>
        </is>
      </c>
      <c r="B11" s="136" t="n"/>
      <c r="C11" s="146">
        <f>SUM(C4:C10)</f>
        <v/>
      </c>
      <c r="D11" s="147">
        <f>SUM(D4:D10)</f>
        <v/>
      </c>
      <c r="E11" s="142" t="n"/>
      <c r="F11" s="142" t="n"/>
      <c r="G11" s="142" t="n"/>
      <c r="H11" s="142" t="n"/>
    </row>
    <row r="12" ht="15.9" customHeight="1" s="115">
      <c r="A12" s="143" t="n"/>
      <c r="B12" s="144" t="n"/>
      <c r="C12" s="145" t="n"/>
      <c r="D12" s="148" t="n"/>
      <c r="E12" s="102" t="inlineStr">
        <is>
          <t xml:space="preserve"> 原借款：        元
The original loan：</t>
        </is>
      </c>
      <c r="F12" s="135" t="n"/>
      <c r="G12" s="102" t="inlineStr">
        <is>
          <t>应退余款：       元
Shall refund the balance：</t>
        </is>
      </c>
      <c r="H12" s="135" t="n"/>
    </row>
    <row r="13" ht="30.3" customHeight="1" s="115">
      <c r="A13" s="104" t="inlineStr">
        <is>
          <t>领导审批                   会计主管                   会计                  出纳                      报销人     领款人  
Leadership approva：    accounting supervisor；   accounting；      cashier；     People concerned：  payee：</t>
        </is>
      </c>
      <c r="B13" s="136" t="n"/>
      <c r="C13" s="136" t="n"/>
      <c r="D13" s="136" t="n"/>
      <c r="E13" s="136" t="n"/>
      <c r="F13" s="136" t="n"/>
      <c r="G13" s="136" t="n"/>
      <c r="H13" s="136" t="n"/>
    </row>
  </sheetData>
  <mergeCells count="21">
    <mergeCell ref="E12:F12"/>
    <mergeCell ref="G12:H12"/>
    <mergeCell ref="A1:H1"/>
    <mergeCell ref="E10:E11"/>
    <mergeCell ref="F3:H9"/>
    <mergeCell ref="A6:B6"/>
    <mergeCell ref="G10:G11"/>
    <mergeCell ref="A7:B7"/>
    <mergeCell ref="C11:C12"/>
    <mergeCell ref="A3:B3"/>
    <mergeCell ref="A2:H2"/>
    <mergeCell ref="E3:E9"/>
    <mergeCell ref="A11:B12"/>
    <mergeCell ref="A5:B5"/>
    <mergeCell ref="A8:B8"/>
    <mergeCell ref="A4:B4"/>
    <mergeCell ref="A10:B10"/>
    <mergeCell ref="A13:H13"/>
    <mergeCell ref="A9:B9"/>
    <mergeCell ref="F10:F11"/>
    <mergeCell ref="H10:H11"/>
  </mergeCells>
  <dataValidations count="1">
    <dataValidation sqref="C3" showDropDown="0" showInputMessage="1" showErrorMessage="1" allowBlank="1" type="list">
      <formula1>"Amount (foreign currency),金额（欧元EUR),金额（韩币KRW),金额（日元JPY),金额(美金USD),金额(英镑GBP),金额(港币HKD)"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Reimbursement Helper</dc:creator>
  <dc:title>Blank reimbursement template</dc:title>
  <dc:subject>Reimbursement Helper template</dc:subject>
  <dcterms:created xsi:type="dcterms:W3CDTF">2026-06-29T03:40:17Z</dcterms:created>
  <dcterms:modified xsi:type="dcterms:W3CDTF">2026-06-29T17:54:49Z</dcterms:modified>
  <cp:lastModifiedBy>Reimbursement Helper</cp:lastModifiedBy>
</cp:coreProperties>
</file>